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uqoca-my.sharepoint.com/personal/gagnst02_uqo_ca/Documents/data/s2orc/final-abstracts/"/>
    </mc:Choice>
  </mc:AlternateContent>
  <xr:revisionPtr revIDLastSave="82" documentId="11_F25DC773A252ABDACC10487A811F49665BDE58EC" xr6:coauthVersionLast="47" xr6:coauthVersionMax="47" xr10:uidLastSave="{A956103A-33A9-4650-B375-7DCC7CCD1185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K38" i="1" s="1"/>
  <c r="I38" i="1"/>
</calcChain>
</file>

<file path=xl/sharedStrings.xml><?xml version="1.0" encoding="utf-8"?>
<sst xmlns="http://schemas.openxmlformats.org/spreadsheetml/2006/main" count="92" uniqueCount="92">
  <si>
    <t>Line</t>
  </si>
  <si>
    <t>Disc</t>
  </si>
  <si>
    <t>Journal Num</t>
  </si>
  <si>
    <t>Journal Code</t>
  </si>
  <si>
    <t>Journal Dir</t>
  </si>
  <si>
    <t>Scopus Rank</t>
  </si>
  <si>
    <t>Journal Title</t>
  </si>
  <si>
    <t>Articles</t>
  </si>
  <si>
    <t>Abstracts</t>
  </si>
  <si>
    <t>Ratio</t>
  </si>
  <si>
    <t>Cyber</t>
  </si>
  <si>
    <t>Secur</t>
  </si>
  <si>
    <t>Priv</t>
  </si>
  <si>
    <t>Protec</t>
  </si>
  <si>
    <t>x21100262490</t>
  </si>
  <si>
    <t>Journal of Wireless Mobile Networks, Ubiquitous Computing, and Dependable Applications</t>
  </si>
  <si>
    <t>x28918</t>
  </si>
  <si>
    <t>IEEE Transactions on Dependable and Secure Computing</t>
  </si>
  <si>
    <t>x21100198552</t>
  </si>
  <si>
    <t>International Journal of Applied Cryptography</t>
  </si>
  <si>
    <t>x21100199346</t>
  </si>
  <si>
    <t>Journal of Mathematical Cryptology</t>
  </si>
  <si>
    <t>x25862</t>
  </si>
  <si>
    <t>Designs, Codes, and Cryptography</t>
  </si>
  <si>
    <t>x21100266502</t>
  </si>
  <si>
    <t>Journal of Cryptographic Engineering</t>
  </si>
  <si>
    <t>x23871</t>
  </si>
  <si>
    <t>Journal of Cryptology</t>
  </si>
  <si>
    <t>x19600156814</t>
  </si>
  <si>
    <t>Cryptography and Communications</t>
  </si>
  <si>
    <t>x19700186847</t>
  </si>
  <si>
    <t>International Journal of Digital Crime and Forensics</t>
  </si>
  <si>
    <t>x17294</t>
  </si>
  <si>
    <t>Defence Science Journal</t>
  </si>
  <si>
    <t>x17300154971</t>
  </si>
  <si>
    <t>International Journal of Critical Infrastructure Protection</t>
  </si>
  <si>
    <t>x19800188053</t>
  </si>
  <si>
    <t>International Journal of Information Security and Privacy</t>
  </si>
  <si>
    <t>x19700186871</t>
  </si>
  <si>
    <t>Transactions on Data Privacy</t>
  </si>
  <si>
    <t>x21100832567</t>
  </si>
  <si>
    <t>ACM Transactions on Privacy and Security</t>
  </si>
  <si>
    <t>x28916</t>
  </si>
  <si>
    <t>IEEE Security &amp; Privacy</t>
  </si>
  <si>
    <t>x21100985663</t>
  </si>
  <si>
    <t>International Journal of Computer Network and Information Security</t>
  </si>
  <si>
    <t>x19400156805</t>
  </si>
  <si>
    <t>International Journal of Information and Computer Security</t>
  </si>
  <si>
    <t>x21100242240</t>
  </si>
  <si>
    <t>International Journal of Internet Technology and Secured Transactions</t>
  </si>
  <si>
    <t>x4000149002</t>
  </si>
  <si>
    <t>IEEE Transactions on Information Forensics and Security</t>
  </si>
  <si>
    <t>x21100935071</t>
  </si>
  <si>
    <t>Journal of Internet Services and Information Security</t>
  </si>
  <si>
    <t>x145326</t>
  </si>
  <si>
    <t>International Journal of Information Security</t>
  </si>
  <si>
    <t>x12600154734</t>
  </si>
  <si>
    <t>International Journal of Electronic Security and Digital Forensics</t>
  </si>
  <si>
    <t>x21100812851</t>
  </si>
  <si>
    <t>Eurasip Journal on Information Security</t>
  </si>
  <si>
    <t>x16800154719</t>
  </si>
  <si>
    <t>International Journal of Security and Networks</t>
  </si>
  <si>
    <t>x21100332403</t>
  </si>
  <si>
    <t>Journal of Information Security and Applications</t>
  </si>
  <si>
    <t>x28931</t>
  </si>
  <si>
    <t>Journal of Computer Security</t>
  </si>
  <si>
    <t>x21100781741</t>
  </si>
  <si>
    <t>Journal of Cyber Security and Mobility</t>
  </si>
  <si>
    <t>x28887</t>
  </si>
  <si>
    <t>Computer Fraud &amp; Security</t>
  </si>
  <si>
    <t>x21100855505</t>
  </si>
  <si>
    <t>Journal of Cybersecurity</t>
  </si>
  <si>
    <t>x5400152640</t>
  </si>
  <si>
    <t>IET Information Security</t>
  </si>
  <si>
    <t>x28888</t>
  </si>
  <si>
    <t>Computer Law &amp; Security Review</t>
  </si>
  <si>
    <t>x28898</t>
  </si>
  <si>
    <t>Computers &amp; Security</t>
  </si>
  <si>
    <t>x21101019779</t>
  </si>
  <si>
    <t>Cybersecurity</t>
  </si>
  <si>
    <t>x18000156707</t>
  </si>
  <si>
    <t>Security and Communication Networks</t>
  </si>
  <si>
    <t>x21100878578</t>
  </si>
  <si>
    <t>International Journal of Cyber Warfare and Terrorism</t>
  </si>
  <si>
    <t>Defen</t>
  </si>
  <si>
    <t>Crim</t>
  </si>
  <si>
    <t>Crypt</t>
  </si>
  <si>
    <t>Depend</t>
  </si>
  <si>
    <t>Number</t>
  </si>
  <si>
    <t>x21100405702</t>
  </si>
  <si>
    <t>Journal of Computer Virology and Hacking Techniques</t>
  </si>
  <si>
    <t>Hack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</si>
</sst>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/>
  </sheetViews>
  <sheetFormatPr defaultRowHeight="15" x14ac:dyDescent="0.25"/>
  <cols>
    <col min="2" max="2" width="5" bestFit="1" customWidth="1"/>
    <col min="3" max="3" width="4.5703125" bestFit="1" customWidth="1"/>
    <col min="4" max="4" width="12.140625" bestFit="1" customWidth="1"/>
    <col min="5" max="5" width="13.140625" bestFit="1" customWidth="1"/>
    <col min="6" max="6" width="12" bestFit="1" customWidth="1"/>
    <col min="7" max="7" width="11.85546875" bestFit="1" customWidth="1"/>
    <col min="8" max="8" width="84" bestFit="1" customWidth="1"/>
    <col min="9" max="9" width="7.7109375" bestFit="1" customWidth="1"/>
    <col min="11" max="11" width="12" bestFit="1" customWidth="1"/>
    <col min="12" max="12" width="6.140625" bestFit="1" customWidth="1"/>
    <col min="13" max="13" width="5.85546875" bestFit="1" customWidth="1"/>
    <col min="14" max="14" width="4.42578125" bestFit="1" customWidth="1"/>
    <col min="15" max="15" width="6.7109375" bestFit="1" customWidth="1"/>
    <col min="16" max="16" width="6.28515625" bestFit="1" customWidth="1"/>
    <col min="17" max="17" width="4.85546875" bestFit="1" customWidth="1"/>
    <col min="18" max="18" width="5.42578125" bestFit="1" customWidth="1"/>
    <col min="19" max="19" width="7.85546875" bestFit="1" customWidth="1"/>
    <col min="20" max="20" width="5.140625" bestFit="1" customWidth="1"/>
  </cols>
  <sheetData>
    <row r="1" spans="1:20" x14ac:dyDescent="0.25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84</v>
      </c>
      <c r="Q1" t="s">
        <v>85</v>
      </c>
      <c r="R1" t="s">
        <v>86</v>
      </c>
      <c r="S1" t="s">
        <v>87</v>
      </c>
      <c r="T1" t="s">
        <v>91</v>
      </c>
    </row>
    <row r="2" spans="1:20" x14ac:dyDescent="0.25">
      <c r="A2">
        <v>1</v>
      </c>
      <c r="B2">
        <v>222</v>
      </c>
      <c r="C2">
        <v>2</v>
      </c>
      <c r="D2">
        <v>17294</v>
      </c>
      <c r="E2" t="s">
        <v>32</v>
      </c>
      <c r="F2">
        <v>17294</v>
      </c>
      <c r="G2">
        <v>2725</v>
      </c>
      <c r="H2" t="s">
        <v>33</v>
      </c>
      <c r="I2">
        <v>3266</v>
      </c>
      <c r="J2">
        <v>3101</v>
      </c>
      <c r="K2" s="1">
        <v>0.94947948560930806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2</v>
      </c>
      <c r="B3">
        <v>1237</v>
      </c>
      <c r="C3">
        <v>2</v>
      </c>
      <c r="D3">
        <v>4000149002</v>
      </c>
      <c r="E3" t="s">
        <v>50</v>
      </c>
      <c r="F3">
        <v>4000149002</v>
      </c>
      <c r="G3">
        <v>125</v>
      </c>
      <c r="H3" t="s">
        <v>51</v>
      </c>
      <c r="I3">
        <v>2249</v>
      </c>
      <c r="J3">
        <v>2227</v>
      </c>
      <c r="K3" s="1">
        <v>0.99021787461093824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3</v>
      </c>
      <c r="B4">
        <v>262</v>
      </c>
      <c r="C4">
        <v>2</v>
      </c>
      <c r="D4">
        <v>18000156707</v>
      </c>
      <c r="E4" t="s">
        <v>80</v>
      </c>
      <c r="F4">
        <v>18000156707</v>
      </c>
      <c r="G4">
        <v>961</v>
      </c>
      <c r="H4" t="s">
        <v>81</v>
      </c>
      <c r="I4">
        <v>2233</v>
      </c>
      <c r="J4">
        <v>2090</v>
      </c>
      <c r="K4" s="1">
        <v>0.93596059113300489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4</v>
      </c>
      <c r="B5">
        <v>1209</v>
      </c>
      <c r="C5">
        <v>2</v>
      </c>
      <c r="D5">
        <v>28898</v>
      </c>
      <c r="E5" t="s">
        <v>76</v>
      </c>
      <c r="F5">
        <v>28898</v>
      </c>
      <c r="G5">
        <v>382</v>
      </c>
      <c r="H5" t="s">
        <v>77</v>
      </c>
      <c r="I5">
        <v>2888</v>
      </c>
      <c r="J5">
        <v>1647</v>
      </c>
      <c r="K5" s="1">
        <v>0.5702908587257618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5</v>
      </c>
      <c r="B6">
        <v>1208</v>
      </c>
      <c r="C6">
        <v>2</v>
      </c>
      <c r="D6">
        <v>28888</v>
      </c>
      <c r="E6" t="s">
        <v>74</v>
      </c>
      <c r="F6">
        <v>28888</v>
      </c>
      <c r="G6">
        <v>412</v>
      </c>
      <c r="H6" t="s">
        <v>75</v>
      </c>
      <c r="I6">
        <v>2001</v>
      </c>
      <c r="J6">
        <v>1392</v>
      </c>
      <c r="K6" s="1">
        <v>0.69565217391304346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6</v>
      </c>
      <c r="B7">
        <v>1207</v>
      </c>
      <c r="C7">
        <v>2</v>
      </c>
      <c r="D7">
        <v>28887</v>
      </c>
      <c r="E7" t="s">
        <v>68</v>
      </c>
      <c r="F7">
        <v>28887</v>
      </c>
      <c r="G7">
        <v>2060</v>
      </c>
      <c r="H7" t="s">
        <v>69</v>
      </c>
      <c r="I7">
        <v>1561</v>
      </c>
      <c r="J7">
        <v>1272</v>
      </c>
      <c r="K7" s="1">
        <v>0.81486226777706594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7</v>
      </c>
      <c r="B8">
        <v>1210</v>
      </c>
      <c r="C8">
        <v>2</v>
      </c>
      <c r="D8">
        <v>28916</v>
      </c>
      <c r="E8" t="s">
        <v>42</v>
      </c>
      <c r="F8">
        <v>28916</v>
      </c>
      <c r="G8">
        <v>770</v>
      </c>
      <c r="H8" t="s">
        <v>43</v>
      </c>
      <c r="I8">
        <v>895</v>
      </c>
      <c r="J8">
        <v>893</v>
      </c>
      <c r="K8" s="1">
        <v>0.99776536312849162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8</v>
      </c>
      <c r="B9">
        <v>1211</v>
      </c>
      <c r="C9">
        <v>2</v>
      </c>
      <c r="D9">
        <v>28918</v>
      </c>
      <c r="E9" t="s">
        <v>16</v>
      </c>
      <c r="F9">
        <v>28918</v>
      </c>
      <c r="G9">
        <v>199</v>
      </c>
      <c r="H9" t="s">
        <v>17</v>
      </c>
      <c r="I9">
        <v>945</v>
      </c>
      <c r="J9">
        <v>817</v>
      </c>
      <c r="K9" s="1">
        <v>0.86455026455026451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</row>
    <row r="10" spans="1:20" x14ac:dyDescent="0.25">
      <c r="A10">
        <v>9</v>
      </c>
      <c r="B10">
        <v>1014</v>
      </c>
      <c r="C10">
        <v>2</v>
      </c>
      <c r="D10">
        <v>23871</v>
      </c>
      <c r="E10" t="s">
        <v>26</v>
      </c>
      <c r="F10">
        <v>23871</v>
      </c>
      <c r="G10">
        <v>966</v>
      </c>
      <c r="H10" t="s">
        <v>27</v>
      </c>
      <c r="I10">
        <v>923</v>
      </c>
      <c r="J10">
        <v>734</v>
      </c>
      <c r="K10" s="1">
        <v>0.79523293607800649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</row>
    <row r="11" spans="1:20" x14ac:dyDescent="0.25">
      <c r="A11">
        <v>10</v>
      </c>
      <c r="B11">
        <v>162</v>
      </c>
      <c r="C11">
        <v>2</v>
      </c>
      <c r="D11">
        <v>145326</v>
      </c>
      <c r="E11" t="s">
        <v>54</v>
      </c>
      <c r="F11">
        <v>145326</v>
      </c>
      <c r="G11">
        <v>1324</v>
      </c>
      <c r="H11" t="s">
        <v>55</v>
      </c>
      <c r="I11">
        <v>570</v>
      </c>
      <c r="J11">
        <v>548</v>
      </c>
      <c r="K11" s="1">
        <v>0.96140350877192982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11</v>
      </c>
      <c r="B12">
        <v>1298</v>
      </c>
      <c r="C12">
        <v>2</v>
      </c>
      <c r="D12">
        <v>5400152640</v>
      </c>
      <c r="E12" t="s">
        <v>72</v>
      </c>
      <c r="F12">
        <v>5400152640</v>
      </c>
      <c r="G12">
        <v>1523</v>
      </c>
      <c r="H12" t="s">
        <v>73</v>
      </c>
      <c r="I12">
        <v>528</v>
      </c>
      <c r="J12">
        <v>514</v>
      </c>
      <c r="K12" s="1">
        <v>0.97348484848484851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12</v>
      </c>
      <c r="B13">
        <v>943</v>
      </c>
      <c r="C13">
        <v>2</v>
      </c>
      <c r="D13">
        <v>21100985663</v>
      </c>
      <c r="E13" t="s">
        <v>44</v>
      </c>
      <c r="F13">
        <v>21100985663</v>
      </c>
      <c r="G13">
        <v>6433</v>
      </c>
      <c r="H13" t="s">
        <v>45</v>
      </c>
      <c r="I13">
        <v>739</v>
      </c>
      <c r="J13">
        <v>479</v>
      </c>
      <c r="K13" s="1">
        <v>0.64817320703653591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13</v>
      </c>
      <c r="B14">
        <v>355</v>
      </c>
      <c r="C14">
        <v>2</v>
      </c>
      <c r="D14">
        <v>19600156814</v>
      </c>
      <c r="E14" t="s">
        <v>28</v>
      </c>
      <c r="F14">
        <v>19600156814</v>
      </c>
      <c r="G14">
        <v>375</v>
      </c>
      <c r="H14" t="s">
        <v>29</v>
      </c>
      <c r="I14">
        <v>435</v>
      </c>
      <c r="J14">
        <v>416</v>
      </c>
      <c r="K14" s="1">
        <v>0.95632183908045976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</row>
    <row r="15" spans="1:20" x14ac:dyDescent="0.25">
      <c r="A15">
        <v>14</v>
      </c>
      <c r="B15">
        <v>1212</v>
      </c>
      <c r="C15">
        <v>2</v>
      </c>
      <c r="D15">
        <v>28931</v>
      </c>
      <c r="E15" t="s">
        <v>64</v>
      </c>
      <c r="F15">
        <v>28931</v>
      </c>
      <c r="G15">
        <v>2660</v>
      </c>
      <c r="H15" t="s">
        <v>65</v>
      </c>
      <c r="I15">
        <v>863</v>
      </c>
      <c r="J15">
        <v>416</v>
      </c>
      <c r="K15" s="1">
        <v>0.48203939745075319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15</v>
      </c>
      <c r="B16">
        <v>596</v>
      </c>
      <c r="C16">
        <v>2</v>
      </c>
      <c r="D16">
        <v>21100266502</v>
      </c>
      <c r="E16" t="s">
        <v>24</v>
      </c>
      <c r="F16">
        <v>21100266502</v>
      </c>
      <c r="G16">
        <v>706</v>
      </c>
      <c r="H16" t="s">
        <v>25</v>
      </c>
      <c r="I16">
        <v>215</v>
      </c>
      <c r="J16">
        <v>206</v>
      </c>
      <c r="K16" s="1">
        <v>0.95813953488372094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</row>
    <row r="17" spans="1:20" x14ac:dyDescent="0.25">
      <c r="A17">
        <v>16</v>
      </c>
      <c r="B17">
        <v>581</v>
      </c>
      <c r="C17">
        <v>2</v>
      </c>
      <c r="D17">
        <v>21100242240</v>
      </c>
      <c r="E17" t="s">
        <v>48</v>
      </c>
      <c r="F17">
        <v>21100242240</v>
      </c>
      <c r="G17">
        <v>3350</v>
      </c>
      <c r="H17" t="s">
        <v>49</v>
      </c>
      <c r="I17">
        <v>216</v>
      </c>
      <c r="J17">
        <v>180</v>
      </c>
      <c r="K17" s="1">
        <v>0.83333333333333337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17</v>
      </c>
      <c r="B18">
        <v>641</v>
      </c>
      <c r="C18">
        <v>2</v>
      </c>
      <c r="D18">
        <v>21100405702</v>
      </c>
      <c r="E18" t="s">
        <v>89</v>
      </c>
      <c r="F18">
        <v>21100405702</v>
      </c>
      <c r="G18">
        <v>763</v>
      </c>
      <c r="H18" t="s">
        <v>90</v>
      </c>
      <c r="I18">
        <v>177</v>
      </c>
      <c r="J18">
        <v>169</v>
      </c>
      <c r="K18" s="1">
        <v>0.95480225988700562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</row>
    <row r="19" spans="1:20" x14ac:dyDescent="0.25">
      <c r="A19">
        <v>18</v>
      </c>
      <c r="B19">
        <v>214</v>
      </c>
      <c r="C19">
        <v>2</v>
      </c>
      <c r="D19">
        <v>16800154719</v>
      </c>
      <c r="E19" t="s">
        <v>60</v>
      </c>
      <c r="F19">
        <v>16800154719</v>
      </c>
      <c r="G19">
        <v>4342</v>
      </c>
      <c r="H19" t="s">
        <v>61</v>
      </c>
      <c r="I19">
        <v>159</v>
      </c>
      <c r="J19">
        <v>127</v>
      </c>
      <c r="K19" s="1">
        <v>0.79874213836477992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19</v>
      </c>
      <c r="B20">
        <v>510</v>
      </c>
      <c r="C20">
        <v>2</v>
      </c>
      <c r="D20">
        <v>21100199346</v>
      </c>
      <c r="E20" t="s">
        <v>20</v>
      </c>
      <c r="F20">
        <v>21100199346</v>
      </c>
      <c r="G20">
        <v>2033</v>
      </c>
      <c r="H20" t="s">
        <v>21</v>
      </c>
      <c r="I20">
        <v>92</v>
      </c>
      <c r="J20">
        <v>85</v>
      </c>
      <c r="K20" s="1">
        <v>0.92391304347826086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</row>
    <row r="21" spans="1:20" x14ac:dyDescent="0.25">
      <c r="A21">
        <v>20</v>
      </c>
      <c r="B21">
        <v>963</v>
      </c>
      <c r="C21">
        <v>2</v>
      </c>
      <c r="D21">
        <v>21101019779</v>
      </c>
      <c r="E21" t="s">
        <v>78</v>
      </c>
      <c r="F21">
        <v>21101019779</v>
      </c>
      <c r="G21">
        <v>1178</v>
      </c>
      <c r="H21" t="s">
        <v>79</v>
      </c>
      <c r="I21">
        <v>57</v>
      </c>
      <c r="J21">
        <v>42</v>
      </c>
      <c r="K21" s="1">
        <v>0.73684210526315785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>
        <v>21</v>
      </c>
      <c r="B22">
        <v>65</v>
      </c>
      <c r="C22">
        <v>2</v>
      </c>
      <c r="D22">
        <v>12600154734</v>
      </c>
      <c r="E22" t="s">
        <v>56</v>
      </c>
      <c r="F22">
        <v>12600154734</v>
      </c>
      <c r="G22">
        <v>3168</v>
      </c>
      <c r="H22" t="s">
        <v>57</v>
      </c>
      <c r="I22">
        <v>57</v>
      </c>
      <c r="J22">
        <v>41</v>
      </c>
      <c r="K22" s="1">
        <v>0.7192982456140351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>
        <v>22</v>
      </c>
      <c r="B23">
        <v>337</v>
      </c>
      <c r="C23">
        <v>2</v>
      </c>
      <c r="D23">
        <v>19400156805</v>
      </c>
      <c r="E23" t="s">
        <v>46</v>
      </c>
      <c r="F23">
        <v>19400156805</v>
      </c>
      <c r="G23">
        <v>3857</v>
      </c>
      <c r="H23" t="s">
        <v>47</v>
      </c>
      <c r="I23">
        <v>95</v>
      </c>
      <c r="J23">
        <v>31</v>
      </c>
      <c r="K23" s="1">
        <v>0.32631578947368423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>
        <v>23</v>
      </c>
      <c r="B24">
        <v>677</v>
      </c>
      <c r="C24">
        <v>2</v>
      </c>
      <c r="D24">
        <v>21100781741</v>
      </c>
      <c r="E24" t="s">
        <v>66</v>
      </c>
      <c r="F24">
        <v>21100781741</v>
      </c>
      <c r="G24">
        <v>2727</v>
      </c>
      <c r="H24" t="s">
        <v>67</v>
      </c>
      <c r="I24">
        <v>122</v>
      </c>
      <c r="J24">
        <v>28</v>
      </c>
      <c r="K24" s="1">
        <v>0.22950819672131148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>
        <v>24</v>
      </c>
      <c r="B25">
        <v>421</v>
      </c>
      <c r="C25">
        <v>2</v>
      </c>
      <c r="D25">
        <v>19700186871</v>
      </c>
      <c r="E25" t="s">
        <v>38</v>
      </c>
      <c r="F25">
        <v>19700186871</v>
      </c>
      <c r="G25">
        <v>1844</v>
      </c>
      <c r="H25" t="s">
        <v>39</v>
      </c>
      <c r="I25">
        <v>32</v>
      </c>
      <c r="J25">
        <v>13</v>
      </c>
      <c r="K25" s="1">
        <v>0.40625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>
        <v>25</v>
      </c>
      <c r="B26">
        <v>778</v>
      </c>
      <c r="C26">
        <v>2</v>
      </c>
      <c r="D26">
        <v>21100855505</v>
      </c>
      <c r="E26" t="s">
        <v>70</v>
      </c>
      <c r="F26">
        <v>21100855505</v>
      </c>
      <c r="G26">
        <v>981</v>
      </c>
      <c r="H26" t="s">
        <v>71</v>
      </c>
      <c r="I26">
        <v>7</v>
      </c>
      <c r="J26">
        <v>7</v>
      </c>
      <c r="K26" s="1">
        <v>1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>
        <v>26</v>
      </c>
      <c r="B27">
        <v>224</v>
      </c>
      <c r="C27">
        <v>1</v>
      </c>
      <c r="D27">
        <v>17300154971</v>
      </c>
      <c r="E27" t="s">
        <v>34</v>
      </c>
      <c r="F27">
        <v>17300154971</v>
      </c>
      <c r="G27">
        <v>44</v>
      </c>
      <c r="H27" t="s">
        <v>35</v>
      </c>
      <c r="I27">
        <v>13</v>
      </c>
      <c r="J27">
        <v>6</v>
      </c>
      <c r="K27" s="1">
        <v>0.46153846153846156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>
        <v>27</v>
      </c>
      <c r="B28">
        <v>411</v>
      </c>
      <c r="C28">
        <v>2</v>
      </c>
      <c r="D28">
        <v>19700186847</v>
      </c>
      <c r="E28" t="s">
        <v>30</v>
      </c>
      <c r="F28">
        <v>19700186847</v>
      </c>
      <c r="G28">
        <v>2856</v>
      </c>
      <c r="H28" t="s">
        <v>31</v>
      </c>
      <c r="I28">
        <v>6</v>
      </c>
      <c r="J28">
        <v>5</v>
      </c>
      <c r="K28" s="1">
        <v>0.83333333333333337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</row>
    <row r="29" spans="1:20" x14ac:dyDescent="0.25">
      <c r="A29">
        <v>28</v>
      </c>
      <c r="B29">
        <v>1121</v>
      </c>
      <c r="C29">
        <v>2</v>
      </c>
      <c r="D29">
        <v>25862</v>
      </c>
      <c r="E29" t="s">
        <v>22</v>
      </c>
      <c r="F29">
        <v>25862</v>
      </c>
      <c r="G29">
        <v>360</v>
      </c>
      <c r="H29" t="s">
        <v>23</v>
      </c>
      <c r="I29">
        <v>8</v>
      </c>
      <c r="J29">
        <v>2</v>
      </c>
      <c r="K29" s="1">
        <v>0.25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</row>
    <row r="30" spans="1:20" x14ac:dyDescent="0.25">
      <c r="A30">
        <v>29</v>
      </c>
      <c r="B30">
        <v>717</v>
      </c>
      <c r="C30">
        <v>2</v>
      </c>
      <c r="D30">
        <v>21100812851</v>
      </c>
      <c r="E30" t="s">
        <v>58</v>
      </c>
      <c r="F30">
        <v>21100812851</v>
      </c>
      <c r="G30">
        <v>732</v>
      </c>
      <c r="H30" t="s">
        <v>59</v>
      </c>
      <c r="I30">
        <v>2</v>
      </c>
      <c r="J30">
        <v>2</v>
      </c>
      <c r="K30" s="1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>
        <v>30</v>
      </c>
      <c r="B31">
        <v>507</v>
      </c>
      <c r="C31">
        <v>2</v>
      </c>
      <c r="D31">
        <v>21100198552</v>
      </c>
      <c r="E31" t="s">
        <v>18</v>
      </c>
      <c r="F31">
        <v>21100198552</v>
      </c>
      <c r="G31">
        <v>2053</v>
      </c>
      <c r="H31" t="s">
        <v>19</v>
      </c>
      <c r="I31">
        <v>1</v>
      </c>
      <c r="J31">
        <v>1</v>
      </c>
      <c r="K31" s="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</row>
    <row r="32" spans="1:20" x14ac:dyDescent="0.25">
      <c r="A32">
        <v>31</v>
      </c>
      <c r="B32">
        <v>449</v>
      </c>
      <c r="C32">
        <v>2</v>
      </c>
      <c r="D32">
        <v>19800188053</v>
      </c>
      <c r="E32" t="s">
        <v>36</v>
      </c>
      <c r="F32">
        <v>19800188053</v>
      </c>
      <c r="G32">
        <v>2074</v>
      </c>
      <c r="H32" t="s">
        <v>37</v>
      </c>
      <c r="I32">
        <v>15</v>
      </c>
      <c r="J32">
        <v>1</v>
      </c>
      <c r="K32" s="1">
        <v>6.6666666666666666E-2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>
        <v>32</v>
      </c>
      <c r="B33">
        <v>753</v>
      </c>
      <c r="C33">
        <v>2</v>
      </c>
      <c r="D33">
        <v>21100832567</v>
      </c>
      <c r="E33" t="s">
        <v>40</v>
      </c>
      <c r="F33">
        <v>21100832567</v>
      </c>
      <c r="G33">
        <v>471</v>
      </c>
      <c r="H33" t="s">
        <v>41</v>
      </c>
      <c r="I33">
        <v>1</v>
      </c>
      <c r="J33">
        <v>1</v>
      </c>
      <c r="K33" s="1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>
        <v>33</v>
      </c>
      <c r="B34">
        <v>614</v>
      </c>
      <c r="C34">
        <v>2</v>
      </c>
      <c r="D34">
        <v>21100332403</v>
      </c>
      <c r="E34" t="s">
        <v>62</v>
      </c>
      <c r="F34">
        <v>21100332403</v>
      </c>
      <c r="G34">
        <v>628</v>
      </c>
      <c r="H34" t="s">
        <v>63</v>
      </c>
      <c r="I34">
        <v>7</v>
      </c>
      <c r="J34">
        <v>1</v>
      </c>
      <c r="K34" s="1">
        <v>0.14285714285714285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>
        <v>34</v>
      </c>
      <c r="B35">
        <v>819</v>
      </c>
      <c r="C35">
        <v>1</v>
      </c>
      <c r="D35">
        <v>21100878578</v>
      </c>
      <c r="E35" t="s">
        <v>82</v>
      </c>
      <c r="F35">
        <v>21100878578</v>
      </c>
      <c r="G35">
        <v>514</v>
      </c>
      <c r="H35" t="s">
        <v>83</v>
      </c>
      <c r="I35">
        <v>1</v>
      </c>
      <c r="J35">
        <v>1</v>
      </c>
      <c r="K35" s="1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>
        <v>35</v>
      </c>
      <c r="B36">
        <v>594</v>
      </c>
      <c r="C36">
        <v>2</v>
      </c>
      <c r="D36">
        <v>21100262490</v>
      </c>
      <c r="E36" t="s">
        <v>14</v>
      </c>
      <c r="F36">
        <v>21100262490</v>
      </c>
      <c r="G36">
        <v>1713</v>
      </c>
      <c r="H36" t="s">
        <v>15</v>
      </c>
      <c r="I36">
        <v>2</v>
      </c>
      <c r="J36">
        <v>0</v>
      </c>
      <c r="K36" s="1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</row>
    <row r="37" spans="1:20" x14ac:dyDescent="0.25">
      <c r="A37">
        <v>36</v>
      </c>
      <c r="B37">
        <v>909</v>
      </c>
      <c r="C37">
        <v>2</v>
      </c>
      <c r="D37">
        <v>21100935071</v>
      </c>
      <c r="E37" t="s">
        <v>52</v>
      </c>
      <c r="F37">
        <v>21100935071</v>
      </c>
      <c r="G37">
        <v>2533</v>
      </c>
      <c r="H37" t="s">
        <v>53</v>
      </c>
      <c r="I37">
        <v>1</v>
      </c>
      <c r="J37">
        <v>0</v>
      </c>
      <c r="K37" s="1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25">
      <c r="I38">
        <f>SUM(I2:I37)</f>
        <v>21382</v>
      </c>
      <c r="J38">
        <f>SUM(J2:J37)</f>
        <v>17495</v>
      </c>
      <c r="K38" s="1">
        <f>J38/I38</f>
        <v>0.81821157983350479</v>
      </c>
    </row>
  </sheetData>
  <sortState xmlns:xlrd2="http://schemas.microsoft.com/office/spreadsheetml/2017/richdata2" ref="A2:T37">
    <sortCondition descending="1" ref="J1:J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Gagnon</dc:creator>
  <cp:lastModifiedBy>Gagnon, Stéphane</cp:lastModifiedBy>
  <dcterms:created xsi:type="dcterms:W3CDTF">2015-06-05T18:17:20Z</dcterms:created>
  <dcterms:modified xsi:type="dcterms:W3CDTF">2023-08-08T21:24:45Z</dcterms:modified>
</cp:coreProperties>
</file>