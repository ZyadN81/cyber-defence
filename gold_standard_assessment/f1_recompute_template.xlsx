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edictions" sheetId="2" state="visible" r:id="rId2"/>
    <sheet name="Label_Matrix" sheetId="3" state="visible" r:id="rId3"/>
    <sheet name="Metrics" sheetId="4" state="visible" r:id="rId4"/>
    <sheet name="Confusion_Matrix" sheetId="5" state="visible" r:id="rId5"/>
    <sheet name="Supervisor_Audit" sheetId="6" state="visible" r:id="rId6"/>
    <sheet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4" customWidth="1" min="4" max="4"/>
    <col width="20" customWidth="1" min="5" max="5"/>
    <col width="16" customWidth="1" min="6" max="6"/>
    <col width="14" customWidth="1" min="7" max="7"/>
  </cols>
  <sheetData>
    <row r="1">
      <c r="A1" s="1" t="inlineStr">
        <is>
          <t>record_id</t>
        </is>
      </c>
      <c r="B1" s="1" t="inlineStr">
        <is>
          <t>scenario_name</t>
        </is>
      </c>
      <c r="C1" s="1" t="inlineStr">
        <is>
          <t>scenario_type</t>
        </is>
      </c>
      <c r="D1" s="1" t="inlineStr">
        <is>
          <t>weak_tactics_reference</t>
        </is>
      </c>
      <c r="E1" s="1" t="inlineStr">
        <is>
          <t>gold_final_tactics</t>
        </is>
      </c>
      <c r="F1" s="1" t="inlineStr">
        <is>
          <t>inclusion_flag</t>
        </is>
      </c>
      <c r="G1" s="1" t="inlineStr">
        <is>
          <t>notes</t>
        </is>
      </c>
    </row>
    <row r="2">
      <c r="A2" t="inlineStr">
        <is>
          <t>simple_1</t>
        </is>
      </c>
      <c r="B2" t="inlineStr">
        <is>
          <t>Simple 1: Basic Malware Detection 🦠</t>
        </is>
      </c>
      <c r="C2" t="inlineStr">
        <is>
          <t>Simple</t>
        </is>
      </c>
      <c r="D2" t="inlineStr">
        <is>
          <t>Antivirus_Scanning; Threat_Intelligence</t>
        </is>
      </c>
      <c r="E2" s="2" t="inlineStr"/>
      <c r="F2" s="2" t="inlineStr">
        <is>
          <t>PENDING</t>
        </is>
      </c>
      <c r="G2" s="2" t="inlineStr"/>
    </row>
    <row r="3">
      <c r="A3" t="inlineStr">
        <is>
          <t>simple_2</t>
        </is>
      </c>
      <c r="B3" t="inlineStr">
        <is>
          <t>Simple 2: Phishing Email 📧</t>
        </is>
      </c>
      <c r="C3" t="inlineStr">
        <is>
          <t>Simple</t>
        </is>
      </c>
      <c r="D3" t="inlineStr">
        <is>
          <t>Email_Filtering; Threat_Intelligence</t>
        </is>
      </c>
      <c r="E3" s="2" t="inlineStr"/>
      <c r="F3" s="2" t="inlineStr">
        <is>
          <t>PENDING</t>
        </is>
      </c>
      <c r="G3" s="2" t="inlineStr"/>
    </row>
    <row r="4">
      <c r="A4" t="inlineStr">
        <is>
          <t>simple_3</t>
        </is>
      </c>
      <c r="B4" t="inlineStr">
        <is>
          <t>Simple 3: Network Security Issue 🌐</t>
        </is>
      </c>
      <c r="C4" t="inlineStr">
        <is>
          <t>Simple</t>
        </is>
      </c>
      <c r="D4" t="inlineStr">
        <is>
          <t>Network_Segmentation; Threat_Intelligence</t>
        </is>
      </c>
      <c r="E4" s="2" t="inlineStr"/>
      <c r="F4" s="2" t="inlineStr">
        <is>
          <t>PENDING</t>
        </is>
      </c>
      <c r="G4" s="2" t="inlineStr"/>
    </row>
    <row r="5">
      <c r="A5" t="inlineStr">
        <is>
          <t>simple_4</t>
        </is>
      </c>
      <c r="B5" t="inlineStr">
        <is>
          <t>Simple 4: Data Access Anomaly 📊</t>
        </is>
      </c>
      <c r="C5" t="inlineStr">
        <is>
          <t>Simple</t>
        </is>
      </c>
      <c r="D5" t="inlineStr">
        <is>
          <t>Access_Control; Data_Loss_Prevention</t>
        </is>
      </c>
      <c r="E5" s="2" t="inlineStr"/>
      <c r="F5" s="2" t="inlineStr">
        <is>
          <t>PENDING</t>
        </is>
      </c>
      <c r="G5" s="2" t="inlineStr"/>
    </row>
    <row r="6">
      <c r="A6" t="inlineStr">
        <is>
          <t>simple_5</t>
        </is>
      </c>
      <c r="B6" t="inlineStr">
        <is>
          <t>Simple 5: IoT Device Problem 📱</t>
        </is>
      </c>
      <c r="C6" t="inlineStr">
        <is>
          <t>Simple</t>
        </is>
      </c>
      <c r="D6" t="inlineStr">
        <is>
          <t>Device_Hardening; Network_Segmentation</t>
        </is>
      </c>
      <c r="E6" s="2" t="inlineStr"/>
      <c r="F6" s="2" t="inlineStr">
        <is>
          <t>PENDING</t>
        </is>
      </c>
      <c r="G6" s="2" t="inlineStr"/>
    </row>
    <row r="7">
      <c r="A7" t="inlineStr">
        <is>
          <t>advanced_1</t>
        </is>
      </c>
      <c r="B7" t="inlineStr">
        <is>
          <t>Advanced 1: Sophisticated Phishing Campaign 🎣</t>
        </is>
      </c>
      <c r="C7" t="inlineStr">
        <is>
          <t>Advanced</t>
        </is>
      </c>
      <c r="D7" t="inlineStr">
        <is>
          <t>Email_Filtering; Threat_Hunting; Threat_Intelligence</t>
        </is>
      </c>
      <c r="E7" s="2" t="inlineStr"/>
      <c r="F7" s="2" t="inlineStr">
        <is>
          <t>PENDING</t>
        </is>
      </c>
      <c r="G7" s="2" t="inlineStr"/>
    </row>
    <row r="8">
      <c r="A8" t="inlineStr">
        <is>
          <t>advanced_2</t>
        </is>
      </c>
      <c r="B8" t="inlineStr">
        <is>
          <t>Advanced 2: Ransomware Attack with Network Propagation 🔒</t>
        </is>
      </c>
      <c r="C8" t="inlineStr">
        <is>
          <t>Advanced</t>
        </is>
      </c>
      <c r="D8" t="inlineStr">
        <is>
          <t>Antivirus_Scanning; Backup_and_Recovery; Threat_Hunting</t>
        </is>
      </c>
      <c r="E8" s="2" t="inlineStr"/>
      <c r="F8" s="2" t="inlineStr">
        <is>
          <t>PENDING</t>
        </is>
      </c>
      <c r="G8" s="2" t="inlineStr"/>
    </row>
    <row r="9">
      <c r="A9" t="inlineStr">
        <is>
          <t>advanced_3</t>
        </is>
      </c>
      <c r="B9" t="inlineStr">
        <is>
          <t>Advanced 3: Cloud Infrastructure Compromise ☁️</t>
        </is>
      </c>
      <c r="C9" t="inlineStr">
        <is>
          <t>Advanced</t>
        </is>
      </c>
      <c r="D9" t="inlineStr">
        <is>
          <t>Cloud_Access_Control; Data_Loss_Prevention; Threat_Intelligence</t>
        </is>
      </c>
      <c r="E9" s="2" t="inlineStr"/>
      <c r="F9" s="2" t="inlineStr">
        <is>
          <t>PENDING</t>
        </is>
      </c>
      <c r="G9" s="2" t="inlineStr"/>
    </row>
    <row r="10">
      <c r="A10" t="inlineStr">
        <is>
          <t>advanced_4</t>
        </is>
      </c>
      <c r="B10" t="inlineStr">
        <is>
          <t>Advanced 4: IoT Device Compromise and Botnet Formation 🤖</t>
        </is>
      </c>
      <c r="C10" t="inlineStr">
        <is>
          <t>Advanced</t>
        </is>
      </c>
      <c r="D10" t="inlineStr">
        <is>
          <t>Antivirus_Scanning; Device_Hardening; Network_Segmentation</t>
        </is>
      </c>
      <c r="E10" s="2" t="inlineStr"/>
      <c r="F10" s="2" t="inlineStr">
        <is>
          <t>PENDING</t>
        </is>
      </c>
      <c r="G10" s="2" t="inlineStr"/>
    </row>
    <row r="11">
      <c r="A11" t="inlineStr">
        <is>
          <t>advanced_5</t>
        </is>
      </c>
      <c r="B11" t="inlineStr">
        <is>
          <t>Advanced 5: Insider Threat with Data Exfiltration 👤</t>
        </is>
      </c>
      <c r="C11" t="inlineStr">
        <is>
          <t>Advanced</t>
        </is>
      </c>
      <c r="D11" t="inlineStr">
        <is>
          <t>Access_Control; Data_Loss_Prevention; Incident_Response_Planning</t>
        </is>
      </c>
      <c r="E11" s="2" t="inlineStr"/>
      <c r="F11" s="2" t="inlineStr">
        <is>
          <t>PENDING</t>
        </is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2" customWidth="1" min="4" max="4"/>
    <col width="14" customWidth="1" min="5" max="5"/>
  </cols>
  <sheetData>
    <row r="1">
      <c r="A1" s="1" t="inlineStr">
        <is>
          <t>record_id</t>
        </is>
      </c>
      <c r="B1" s="1" t="inlineStr">
        <is>
          <t>predicted_tactics</t>
        </is>
      </c>
      <c r="C1" s="1" t="inlineStr">
        <is>
          <t>prediction_source</t>
        </is>
      </c>
      <c r="D1" s="1" t="inlineStr">
        <is>
          <t>prediction_timestamp</t>
        </is>
      </c>
      <c r="E1" s="1" t="inlineStr">
        <is>
          <t>comments</t>
        </is>
      </c>
    </row>
    <row r="2">
      <c r="A2" t="inlineStr">
        <is>
          <t>simple_1</t>
        </is>
      </c>
      <c r="B2" s="2" t="inlineStr"/>
      <c r="C2" s="2" t="inlineStr"/>
      <c r="D2" t="inlineStr"/>
      <c r="E2" t="inlineStr"/>
    </row>
    <row r="3">
      <c r="A3" t="inlineStr">
        <is>
          <t>simple_2</t>
        </is>
      </c>
      <c r="B3" s="2" t="inlineStr"/>
      <c r="C3" s="2" t="inlineStr"/>
      <c r="D3" t="inlineStr"/>
      <c r="E3" t="inlineStr"/>
    </row>
    <row r="4">
      <c r="A4" t="inlineStr">
        <is>
          <t>simple_3</t>
        </is>
      </c>
      <c r="B4" s="2" t="inlineStr"/>
      <c r="C4" s="2" t="inlineStr"/>
      <c r="D4" t="inlineStr"/>
      <c r="E4" t="inlineStr"/>
    </row>
    <row r="5">
      <c r="A5" t="inlineStr">
        <is>
          <t>simple_4</t>
        </is>
      </c>
      <c r="B5" s="2" t="inlineStr"/>
      <c r="C5" s="2" t="inlineStr"/>
      <c r="D5" t="inlineStr"/>
      <c r="E5" t="inlineStr"/>
    </row>
    <row r="6">
      <c r="A6" t="inlineStr">
        <is>
          <t>simple_5</t>
        </is>
      </c>
      <c r="B6" s="2" t="inlineStr"/>
      <c r="C6" s="2" t="inlineStr"/>
      <c r="D6" t="inlineStr"/>
      <c r="E6" t="inlineStr"/>
    </row>
    <row r="7">
      <c r="A7" t="inlineStr">
        <is>
          <t>advanced_1</t>
        </is>
      </c>
      <c r="B7" s="2" t="inlineStr"/>
      <c r="C7" s="2" t="inlineStr"/>
      <c r="D7" t="inlineStr"/>
      <c r="E7" t="inlineStr"/>
    </row>
    <row r="8">
      <c r="A8" t="inlineStr">
        <is>
          <t>advanced_2</t>
        </is>
      </c>
      <c r="B8" s="2" t="inlineStr"/>
      <c r="C8" s="2" t="inlineStr"/>
      <c r="D8" t="inlineStr"/>
      <c r="E8" t="inlineStr"/>
    </row>
    <row r="9">
      <c r="A9" t="inlineStr">
        <is>
          <t>advanced_3</t>
        </is>
      </c>
      <c r="B9" s="2" t="inlineStr"/>
      <c r="C9" s="2" t="inlineStr"/>
      <c r="D9" t="inlineStr"/>
      <c r="E9" t="inlineStr"/>
    </row>
    <row r="10">
      <c r="A10" t="inlineStr">
        <is>
          <t>advanced_4</t>
        </is>
      </c>
      <c r="B10" s="2" t="inlineStr"/>
      <c r="C10" s="2" t="inlineStr"/>
      <c r="D10" t="inlineStr"/>
      <c r="E10" t="inlineStr"/>
    </row>
    <row r="11">
      <c r="A11" t="inlineStr">
        <is>
          <t>advanced_5</t>
        </is>
      </c>
      <c r="B11" s="2" t="inlineStr"/>
      <c r="C11" s="2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2" customWidth="1" min="4" max="4"/>
    <col width="26" customWidth="1" min="5" max="5"/>
    <col width="27" customWidth="1" min="6" max="6"/>
    <col width="28" customWidth="1" min="7" max="7"/>
    <col width="28" customWidth="1" min="8" max="8"/>
    <col width="24" customWidth="1" min="9" max="9"/>
    <col width="23" customWidth="1" min="10" max="10"/>
    <col width="34" customWidth="1" min="11" max="11"/>
    <col width="28" customWidth="1" min="12" max="12"/>
    <col width="22" customWidth="1" min="13" max="13"/>
    <col width="27" customWidth="1" min="14" max="14"/>
    <col width="22" customWidth="1" min="15" max="15"/>
    <col width="26" customWidth="1" min="16" max="16"/>
    <col width="27" customWidth="1" min="17" max="17"/>
    <col width="28" customWidth="1" min="18" max="18"/>
    <col width="28" customWidth="1" min="19" max="19"/>
    <col width="24" customWidth="1" min="20" max="20"/>
    <col width="23" customWidth="1" min="21" max="21"/>
    <col width="34" customWidth="1" min="22" max="22"/>
    <col width="28" customWidth="1" min="23" max="23"/>
    <col width="22" customWidth="1" min="24" max="24"/>
    <col width="27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record_id</t>
        </is>
      </c>
      <c r="B1" s="1" t="inlineStr">
        <is>
          <t>gold_final_tactics</t>
        </is>
      </c>
      <c r="C1" s="1" t="inlineStr">
        <is>
          <t>predicted_tactics</t>
        </is>
      </c>
      <c r="D1" s="1" t="inlineStr">
        <is>
          <t>true::Access_Control</t>
        </is>
      </c>
      <c r="E1" s="1" t="inlineStr">
        <is>
          <t>true::Antivirus_Scanning</t>
        </is>
      </c>
      <c r="F1" s="1" t="inlineStr">
        <is>
          <t>true::Backup_and_Recovery</t>
        </is>
      </c>
      <c r="G1" s="1" t="inlineStr">
        <is>
          <t>true::Cloud_Access_Control</t>
        </is>
      </c>
      <c r="H1" s="1" t="inlineStr">
        <is>
          <t>true::Data_Loss_Prevention</t>
        </is>
      </c>
      <c r="I1" s="1" t="inlineStr">
        <is>
          <t>true::Device_Hardening</t>
        </is>
      </c>
      <c r="J1" s="1" t="inlineStr">
        <is>
          <t>true::Email_Filtering</t>
        </is>
      </c>
      <c r="K1" s="1" t="inlineStr">
        <is>
          <t>true::Incident_Response_Planning</t>
        </is>
      </c>
      <c r="L1" s="1" t="inlineStr">
        <is>
          <t>true::Network_Segmentation</t>
        </is>
      </c>
      <c r="M1" s="1" t="inlineStr">
        <is>
          <t>true::Threat_Hunting</t>
        </is>
      </c>
      <c r="N1" s="1" t="inlineStr">
        <is>
          <t>true::Threat_Intelligence</t>
        </is>
      </c>
      <c r="O1" s="1" t="inlineStr">
        <is>
          <t>pred::Access_Control</t>
        </is>
      </c>
      <c r="P1" s="1" t="inlineStr">
        <is>
          <t>pred::Antivirus_Scanning</t>
        </is>
      </c>
      <c r="Q1" s="1" t="inlineStr">
        <is>
          <t>pred::Backup_and_Recovery</t>
        </is>
      </c>
      <c r="R1" s="1" t="inlineStr">
        <is>
          <t>pred::Cloud_Access_Control</t>
        </is>
      </c>
      <c r="S1" s="1" t="inlineStr">
        <is>
          <t>pred::Data_Loss_Prevention</t>
        </is>
      </c>
      <c r="T1" s="1" t="inlineStr">
        <is>
          <t>pred::Device_Hardening</t>
        </is>
      </c>
      <c r="U1" s="1" t="inlineStr">
        <is>
          <t>pred::Email_Filtering</t>
        </is>
      </c>
      <c r="V1" s="1" t="inlineStr">
        <is>
          <t>pred::Incident_Response_Planning</t>
        </is>
      </c>
      <c r="W1" s="1" t="inlineStr">
        <is>
          <t>pred::Network_Segmentation</t>
        </is>
      </c>
      <c r="X1" s="1" t="inlineStr">
        <is>
          <t>pred::Threat_Hunting</t>
        </is>
      </c>
      <c r="Y1" s="1" t="inlineStr">
        <is>
          <t>pred::Threat_Intelligence</t>
        </is>
      </c>
      <c r="Z1" s="1" t="inlineStr">
        <is>
          <t>TP</t>
        </is>
      </c>
      <c r="AA1" s="1" t="inlineStr">
        <is>
          <t>FP</t>
        </is>
      </c>
      <c r="AB1" s="1" t="inlineStr">
        <is>
          <t>FN</t>
        </is>
      </c>
      <c r="AC1" s="1" t="inlineStr">
        <is>
          <t>Precision</t>
        </is>
      </c>
      <c r="AD1" s="1" t="inlineStr">
        <is>
          <t>Recall</t>
        </is>
      </c>
      <c r="AE1" s="1" t="inlineStr">
        <is>
          <t>F1</t>
        </is>
      </c>
    </row>
    <row r="2">
      <c r="A2" s="3" t="inlineStr">
        <is>
          <t>simple_1</t>
        </is>
      </c>
      <c r="B2">
        <f>Inputs!E2</f>
        <v/>
      </c>
      <c r="C2">
        <f>Predictions!B2</f>
        <v/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>
        <f>SUMPRODUCT(D2:N2,O2:Y2)</f>
        <v/>
      </c>
      <c r="AA2">
        <f>SUMPRODUCT(--(O2:Y2=1),--(D2:N2=0))</f>
        <v/>
      </c>
      <c r="AB2">
        <f>SUMPRODUCT(--(D2:N2=1),--(O2:Y2=0))</f>
        <v/>
      </c>
      <c r="AC2">
        <f>IF((Z2+AA2)=0,0,Z2/(Z2+AA2))</f>
        <v/>
      </c>
      <c r="AD2">
        <f>IF((Z2+AB2)=0,0,Z2/(Z2+AB2))</f>
        <v/>
      </c>
      <c r="AE2">
        <f>IF((AC2+AD2)=0,0,2*AC2*AD2/(AC2+AD2))</f>
        <v/>
      </c>
    </row>
    <row r="3">
      <c r="A3" s="3" t="inlineStr">
        <is>
          <t>simple_2</t>
        </is>
      </c>
      <c r="B3">
        <f>Inputs!E3</f>
        <v/>
      </c>
      <c r="C3">
        <f>Predictions!B3</f>
        <v/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>
        <f>SUMPRODUCT(D3:N3,O3:Y3)</f>
        <v/>
      </c>
      <c r="AA3">
        <f>SUMPRODUCT(--(O3:Y3=1),--(D3:N3=0))</f>
        <v/>
      </c>
      <c r="AB3">
        <f>SUMPRODUCT(--(D3:N3=1),--(O3:Y3=0))</f>
        <v/>
      </c>
      <c r="AC3">
        <f>IF((Z3+AA3)=0,0,Z3/(Z3+AA3))</f>
        <v/>
      </c>
      <c r="AD3">
        <f>IF((Z3+AB3)=0,0,Z3/(Z3+AB3))</f>
        <v/>
      </c>
      <c r="AE3">
        <f>IF((AC3+AD3)=0,0,2*AC3*AD3/(AC3+AD3))</f>
        <v/>
      </c>
    </row>
    <row r="4">
      <c r="A4" s="3" t="inlineStr">
        <is>
          <t>simple_3</t>
        </is>
      </c>
      <c r="B4">
        <f>Inputs!E4</f>
        <v/>
      </c>
      <c r="C4">
        <f>Predictions!B4</f>
        <v/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>
        <f>SUMPRODUCT(D4:N4,O4:Y4)</f>
        <v/>
      </c>
      <c r="AA4">
        <f>SUMPRODUCT(--(O4:Y4=1),--(D4:N4=0))</f>
        <v/>
      </c>
      <c r="AB4">
        <f>SUMPRODUCT(--(D4:N4=1),--(O4:Y4=0))</f>
        <v/>
      </c>
      <c r="AC4">
        <f>IF((Z4+AA4)=0,0,Z4/(Z4+AA4))</f>
        <v/>
      </c>
      <c r="AD4">
        <f>IF((Z4+AB4)=0,0,Z4/(Z4+AB4))</f>
        <v/>
      </c>
      <c r="AE4">
        <f>IF((AC4+AD4)=0,0,2*AC4*AD4/(AC4+AD4))</f>
        <v/>
      </c>
    </row>
    <row r="5">
      <c r="A5" s="3" t="inlineStr">
        <is>
          <t>simple_4</t>
        </is>
      </c>
      <c r="B5">
        <f>Inputs!E5</f>
        <v/>
      </c>
      <c r="C5">
        <f>Predictions!B5</f>
        <v/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>
        <f>SUMPRODUCT(D5:N5,O5:Y5)</f>
        <v/>
      </c>
      <c r="AA5">
        <f>SUMPRODUCT(--(O5:Y5=1),--(D5:N5=0))</f>
        <v/>
      </c>
      <c r="AB5">
        <f>SUMPRODUCT(--(D5:N5=1),--(O5:Y5=0))</f>
        <v/>
      </c>
      <c r="AC5">
        <f>IF((Z5+AA5)=0,0,Z5/(Z5+AA5))</f>
        <v/>
      </c>
      <c r="AD5">
        <f>IF((Z5+AB5)=0,0,Z5/(Z5+AB5))</f>
        <v/>
      </c>
      <c r="AE5">
        <f>IF((AC5+AD5)=0,0,2*AC5*AD5/(AC5+AD5))</f>
        <v/>
      </c>
    </row>
    <row r="6">
      <c r="A6" s="3" t="inlineStr">
        <is>
          <t>simple_5</t>
        </is>
      </c>
      <c r="B6">
        <f>Inputs!E6</f>
        <v/>
      </c>
      <c r="C6">
        <f>Predictions!B6</f>
        <v/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>
        <f>SUMPRODUCT(D6:N6,O6:Y6)</f>
        <v/>
      </c>
      <c r="AA6">
        <f>SUMPRODUCT(--(O6:Y6=1),--(D6:N6=0))</f>
        <v/>
      </c>
      <c r="AB6">
        <f>SUMPRODUCT(--(D6:N6=1),--(O6:Y6=0))</f>
        <v/>
      </c>
      <c r="AC6">
        <f>IF((Z6+AA6)=0,0,Z6/(Z6+AA6))</f>
        <v/>
      </c>
      <c r="AD6">
        <f>IF((Z6+AB6)=0,0,Z6/(Z6+AB6))</f>
        <v/>
      </c>
      <c r="AE6">
        <f>IF((AC6+AD6)=0,0,2*AC6*AD6/(AC6+AD6))</f>
        <v/>
      </c>
    </row>
    <row r="7">
      <c r="A7" s="3" t="inlineStr">
        <is>
          <t>advanced_1</t>
        </is>
      </c>
      <c r="B7">
        <f>Inputs!E7</f>
        <v/>
      </c>
      <c r="C7">
        <f>Predictions!B7</f>
        <v/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>
        <f>SUMPRODUCT(D7:N7,O7:Y7)</f>
        <v/>
      </c>
      <c r="AA7">
        <f>SUMPRODUCT(--(O7:Y7=1),--(D7:N7=0))</f>
        <v/>
      </c>
      <c r="AB7">
        <f>SUMPRODUCT(--(D7:N7=1),--(O7:Y7=0))</f>
        <v/>
      </c>
      <c r="AC7">
        <f>IF((Z7+AA7)=0,0,Z7/(Z7+AA7))</f>
        <v/>
      </c>
      <c r="AD7">
        <f>IF((Z7+AB7)=0,0,Z7/(Z7+AB7))</f>
        <v/>
      </c>
      <c r="AE7">
        <f>IF((AC7+AD7)=0,0,2*AC7*AD7/(AC7+AD7))</f>
        <v/>
      </c>
    </row>
    <row r="8">
      <c r="A8" s="3" t="inlineStr">
        <is>
          <t>advanced_2</t>
        </is>
      </c>
      <c r="B8">
        <f>Inputs!E8</f>
        <v/>
      </c>
      <c r="C8">
        <f>Predictions!B8</f>
        <v/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>
        <f>SUMPRODUCT(D8:N8,O8:Y8)</f>
        <v/>
      </c>
      <c r="AA8">
        <f>SUMPRODUCT(--(O8:Y8=1),--(D8:N8=0))</f>
        <v/>
      </c>
      <c r="AB8">
        <f>SUMPRODUCT(--(D8:N8=1),--(O8:Y8=0))</f>
        <v/>
      </c>
      <c r="AC8">
        <f>IF((Z8+AA8)=0,0,Z8/(Z8+AA8))</f>
        <v/>
      </c>
      <c r="AD8">
        <f>IF((Z8+AB8)=0,0,Z8/(Z8+AB8))</f>
        <v/>
      </c>
      <c r="AE8">
        <f>IF((AC8+AD8)=0,0,2*AC8*AD8/(AC8+AD8))</f>
        <v/>
      </c>
    </row>
    <row r="9">
      <c r="A9" s="3" t="inlineStr">
        <is>
          <t>advanced_3</t>
        </is>
      </c>
      <c r="B9">
        <f>Inputs!E9</f>
        <v/>
      </c>
      <c r="C9">
        <f>Predictions!B9</f>
        <v/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>
        <f>SUMPRODUCT(D9:N9,O9:Y9)</f>
        <v/>
      </c>
      <c r="AA9">
        <f>SUMPRODUCT(--(O9:Y9=1),--(D9:N9=0))</f>
        <v/>
      </c>
      <c r="AB9">
        <f>SUMPRODUCT(--(D9:N9=1),--(O9:Y9=0))</f>
        <v/>
      </c>
      <c r="AC9">
        <f>IF((Z9+AA9)=0,0,Z9/(Z9+AA9))</f>
        <v/>
      </c>
      <c r="AD9">
        <f>IF((Z9+AB9)=0,0,Z9/(Z9+AB9))</f>
        <v/>
      </c>
      <c r="AE9">
        <f>IF((AC9+AD9)=0,0,2*AC9*AD9/(AC9+AD9))</f>
        <v/>
      </c>
    </row>
    <row r="10">
      <c r="A10" s="3" t="inlineStr">
        <is>
          <t>advanced_4</t>
        </is>
      </c>
      <c r="B10">
        <f>Inputs!E10</f>
        <v/>
      </c>
      <c r="C10">
        <f>Predictions!B10</f>
        <v/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>
        <f>SUMPRODUCT(D10:N10,O10:Y10)</f>
        <v/>
      </c>
      <c r="AA10">
        <f>SUMPRODUCT(--(O10:Y10=1),--(D10:N10=0))</f>
        <v/>
      </c>
      <c r="AB10">
        <f>SUMPRODUCT(--(D10:N10=1),--(O10:Y10=0))</f>
        <v/>
      </c>
      <c r="AC10">
        <f>IF((Z10+AA10)=0,0,Z10/(Z10+AA10))</f>
        <v/>
      </c>
      <c r="AD10">
        <f>IF((Z10+AB10)=0,0,Z10/(Z10+AB10))</f>
        <v/>
      </c>
      <c r="AE10">
        <f>IF((AC10+AD10)=0,0,2*AC10*AD10/(AC10+AD10))</f>
        <v/>
      </c>
    </row>
    <row r="11">
      <c r="A11" s="3" t="inlineStr">
        <is>
          <t>advanced_5</t>
        </is>
      </c>
      <c r="B11">
        <f>Inputs!E11</f>
        <v/>
      </c>
      <c r="C11">
        <f>Predictions!B11</f>
        <v/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>
        <f>SUMPRODUCT(D11:N11,O11:Y11)</f>
        <v/>
      </c>
      <c r="AA11">
        <f>SUMPRODUCT(--(O11:Y11=1),--(D11:N11=0))</f>
        <v/>
      </c>
      <c r="AB11">
        <f>SUMPRODUCT(--(D11:N11=1),--(O11:Y11=0))</f>
        <v/>
      </c>
      <c r="AC11">
        <f>IF((Z11+AA11)=0,0,Z11/(Z11+AA11))</f>
        <v/>
      </c>
      <c r="AD11">
        <f>IF((Z11+AB11)=0,0,Z11/(Z11+AB11))</f>
        <v/>
      </c>
      <c r="AE11">
        <f>IF((AC11+AD11)=0,0,2*AC11*AD11/(AC11+AD11))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8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Formula/Definition</t>
        </is>
      </c>
    </row>
    <row r="2">
      <c r="A2" s="3" t="inlineStr">
        <is>
          <t>Micro TP</t>
        </is>
      </c>
      <c r="B2">
        <f>SUM(Label_Matrix!Z2:Label_Matrix!Z11)</f>
        <v/>
      </c>
      <c r="C2" s="3" t="inlineStr">
        <is>
          <t>sum of per-row TP</t>
        </is>
      </c>
    </row>
    <row r="3">
      <c r="A3" s="3" t="inlineStr">
        <is>
          <t>Micro FP</t>
        </is>
      </c>
      <c r="B3">
        <f>SUM(Label_Matrix!AA2:Label_Matrix!AA11)</f>
        <v/>
      </c>
      <c r="C3" s="3" t="inlineStr">
        <is>
          <t>sum of per-row FP</t>
        </is>
      </c>
    </row>
    <row r="4">
      <c r="A4" s="3" t="inlineStr">
        <is>
          <t>Micro FN</t>
        </is>
      </c>
      <c r="B4">
        <f>SUM(Label_Matrix!AB2:Label_Matrix!AB11)</f>
        <v/>
      </c>
      <c r="C4" s="3" t="inlineStr">
        <is>
          <t>sum of per-row FN</t>
        </is>
      </c>
    </row>
    <row r="5">
      <c r="A5" s="3" t="inlineStr">
        <is>
          <t>Micro Precision</t>
        </is>
      </c>
      <c r="B5">
        <f>IF((B2+B3)=0,0,B2/(B2+B3))</f>
        <v/>
      </c>
      <c r="C5" s="3" t="inlineStr">
        <is>
          <t>TP/(TP+FP)</t>
        </is>
      </c>
    </row>
    <row r="6">
      <c r="A6" s="3" t="inlineStr">
        <is>
          <t>Micro Recall</t>
        </is>
      </c>
      <c r="B6">
        <f>IF((B2+B4)=0,0,B2/(B2+B4))</f>
        <v/>
      </c>
      <c r="C6" s="3" t="inlineStr">
        <is>
          <t>TP/(TP+FN)</t>
        </is>
      </c>
    </row>
    <row r="7">
      <c r="A7" s="3" t="inlineStr">
        <is>
          <t>Micro F1</t>
        </is>
      </c>
      <c r="B7">
        <f>IF((B5+B6)=0,0,2*B5*B6/(B5+B6))</f>
        <v/>
      </c>
      <c r="C7" s="3" t="inlineStr">
        <is>
          <t>2PR/(P+R)</t>
        </is>
      </c>
    </row>
    <row r="8">
      <c r="A8" s="3" t="inlineStr">
        <is>
          <t>Macro F1 (row average)</t>
        </is>
      </c>
      <c r="B8">
        <f>AVERAGE(Label_Matrix!AE2:Label_Matrix!AE11)</f>
        <v/>
      </c>
      <c r="C8" s="3" t="inlineStr">
        <is>
          <t>average per-row F1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8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Class</t>
        </is>
      </c>
      <c r="B1" s="1" t="inlineStr">
        <is>
          <t>Support(True)</t>
        </is>
      </c>
      <c r="C1" s="1" t="inlineStr">
        <is>
          <t>Predicted_Count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s="3" t="inlineStr">
        <is>
          <t>Access_Control</t>
        </is>
      </c>
      <c r="B2">
        <f>SUM(Label_Matrix!D2:Label_Matrix!D11)</f>
        <v/>
      </c>
      <c r="C2">
        <f>SUM(Label_Matrix!O2:Label_Matrix!O11)</f>
        <v/>
      </c>
      <c r="D2">
        <f>SUMPRODUCT(Label_Matrix!D2:D11,Label_Matrix!O2:O11)</f>
        <v/>
      </c>
      <c r="E2">
        <f>C2-D2</f>
        <v/>
      </c>
      <c r="F2">
        <f>B2-D2</f>
        <v/>
      </c>
      <c r="G2">
        <f>IF((D2+E2)=0,0,D2/(D2+E2))</f>
        <v/>
      </c>
      <c r="H2">
        <f>IF((D2+F2)=0,0,D2/(D2+F2))</f>
        <v/>
      </c>
      <c r="I2">
        <f>IF((G2+H2)=0,0,2*G2*H2/(G2+H2))</f>
        <v/>
      </c>
    </row>
    <row r="3">
      <c r="A3" s="3" t="inlineStr">
        <is>
          <t>Antivirus_Scanning</t>
        </is>
      </c>
      <c r="B3">
        <f>SUM(Label_Matrix!E2:Label_Matrix!E11)</f>
        <v/>
      </c>
      <c r="C3">
        <f>SUM(Label_Matrix!P2:Label_Matrix!P11)</f>
        <v/>
      </c>
      <c r="D3">
        <f>SUMPRODUCT(Label_Matrix!E2:E11,Label_Matrix!P2:P11)</f>
        <v/>
      </c>
      <c r="E3">
        <f>C3-D3</f>
        <v/>
      </c>
      <c r="F3">
        <f>B3-D3</f>
        <v/>
      </c>
      <c r="G3">
        <f>IF((D3+E3)=0,0,D3/(D3+E3))</f>
        <v/>
      </c>
      <c r="H3">
        <f>IF((D3+F3)=0,0,D3/(D3+F3))</f>
        <v/>
      </c>
      <c r="I3">
        <f>IF((G3+H3)=0,0,2*G3*H3/(G3+H3))</f>
        <v/>
      </c>
    </row>
    <row r="4">
      <c r="A4" s="3" t="inlineStr">
        <is>
          <t>Backup_and_Recovery</t>
        </is>
      </c>
      <c r="B4">
        <f>SUM(Label_Matrix!F2:Label_Matrix!F11)</f>
        <v/>
      </c>
      <c r="C4">
        <f>SUM(Label_Matrix!Q2:Label_Matrix!Q11)</f>
        <v/>
      </c>
      <c r="D4">
        <f>SUMPRODUCT(Label_Matrix!F2:F11,Label_Matrix!Q2:Q11)</f>
        <v/>
      </c>
      <c r="E4">
        <f>C4-D4</f>
        <v/>
      </c>
      <c r="F4">
        <f>B4-D4</f>
        <v/>
      </c>
      <c r="G4">
        <f>IF((D4+E4)=0,0,D4/(D4+E4))</f>
        <v/>
      </c>
      <c r="H4">
        <f>IF((D4+F4)=0,0,D4/(D4+F4))</f>
        <v/>
      </c>
      <c r="I4">
        <f>IF((G4+H4)=0,0,2*G4*H4/(G4+H4))</f>
        <v/>
      </c>
    </row>
    <row r="5">
      <c r="A5" s="3" t="inlineStr">
        <is>
          <t>Cloud_Access_Control</t>
        </is>
      </c>
      <c r="B5">
        <f>SUM(Label_Matrix!G2:Label_Matrix!G11)</f>
        <v/>
      </c>
      <c r="C5">
        <f>SUM(Label_Matrix!R2:Label_Matrix!R11)</f>
        <v/>
      </c>
      <c r="D5">
        <f>SUMPRODUCT(Label_Matrix!G2:G11,Label_Matrix!R2:R11)</f>
        <v/>
      </c>
      <c r="E5">
        <f>C5-D5</f>
        <v/>
      </c>
      <c r="F5">
        <f>B5-D5</f>
        <v/>
      </c>
      <c r="G5">
        <f>IF((D5+E5)=0,0,D5/(D5+E5))</f>
        <v/>
      </c>
      <c r="H5">
        <f>IF((D5+F5)=0,0,D5/(D5+F5))</f>
        <v/>
      </c>
      <c r="I5">
        <f>IF((G5+H5)=0,0,2*G5*H5/(G5+H5))</f>
        <v/>
      </c>
    </row>
    <row r="6">
      <c r="A6" s="3" t="inlineStr">
        <is>
          <t>Data_Loss_Prevention</t>
        </is>
      </c>
      <c r="B6">
        <f>SUM(Label_Matrix!H2:Label_Matrix!H11)</f>
        <v/>
      </c>
      <c r="C6">
        <f>SUM(Label_Matrix!S2:Label_Matrix!S11)</f>
        <v/>
      </c>
      <c r="D6">
        <f>SUMPRODUCT(Label_Matrix!H2:H11,Label_Matrix!S2:S11)</f>
        <v/>
      </c>
      <c r="E6">
        <f>C6-D6</f>
        <v/>
      </c>
      <c r="F6">
        <f>B6-D6</f>
        <v/>
      </c>
      <c r="G6">
        <f>IF((D6+E6)=0,0,D6/(D6+E6))</f>
        <v/>
      </c>
      <c r="H6">
        <f>IF((D6+F6)=0,0,D6/(D6+F6))</f>
        <v/>
      </c>
      <c r="I6">
        <f>IF((G6+H6)=0,0,2*G6*H6/(G6+H6))</f>
        <v/>
      </c>
    </row>
    <row r="7">
      <c r="A7" s="3" t="inlineStr">
        <is>
          <t>Device_Hardening</t>
        </is>
      </c>
      <c r="B7">
        <f>SUM(Label_Matrix!I2:Label_Matrix!I11)</f>
        <v/>
      </c>
      <c r="C7">
        <f>SUM(Label_Matrix!T2:Label_Matrix!T11)</f>
        <v/>
      </c>
      <c r="D7">
        <f>SUMPRODUCT(Label_Matrix!I2:I11,Label_Matrix!T2:T11)</f>
        <v/>
      </c>
      <c r="E7">
        <f>C7-D7</f>
        <v/>
      </c>
      <c r="F7">
        <f>B7-D7</f>
        <v/>
      </c>
      <c r="G7">
        <f>IF((D7+E7)=0,0,D7/(D7+E7))</f>
        <v/>
      </c>
      <c r="H7">
        <f>IF((D7+F7)=0,0,D7/(D7+F7))</f>
        <v/>
      </c>
      <c r="I7">
        <f>IF((G7+H7)=0,0,2*G7*H7/(G7+H7))</f>
        <v/>
      </c>
    </row>
    <row r="8">
      <c r="A8" s="3" t="inlineStr">
        <is>
          <t>Email_Filtering</t>
        </is>
      </c>
      <c r="B8">
        <f>SUM(Label_Matrix!J2:Label_Matrix!J11)</f>
        <v/>
      </c>
      <c r="C8">
        <f>SUM(Label_Matrix!U2:Label_Matrix!U11)</f>
        <v/>
      </c>
      <c r="D8">
        <f>SUMPRODUCT(Label_Matrix!J2:J11,Label_Matrix!U2:U11)</f>
        <v/>
      </c>
      <c r="E8">
        <f>C8-D8</f>
        <v/>
      </c>
      <c r="F8">
        <f>B8-D8</f>
        <v/>
      </c>
      <c r="G8">
        <f>IF((D8+E8)=0,0,D8/(D8+E8))</f>
        <v/>
      </c>
      <c r="H8">
        <f>IF((D8+F8)=0,0,D8/(D8+F8))</f>
        <v/>
      </c>
      <c r="I8">
        <f>IF((G8+H8)=0,0,2*G8*H8/(G8+H8))</f>
        <v/>
      </c>
    </row>
    <row r="9">
      <c r="A9" s="3" t="inlineStr">
        <is>
          <t>Incident_Response_Planning</t>
        </is>
      </c>
      <c r="B9">
        <f>SUM(Label_Matrix!K2:Label_Matrix!K11)</f>
        <v/>
      </c>
      <c r="C9">
        <f>SUM(Label_Matrix!V2:Label_Matrix!V11)</f>
        <v/>
      </c>
      <c r="D9">
        <f>SUMPRODUCT(Label_Matrix!K2:K11,Label_Matrix!V2:V11)</f>
        <v/>
      </c>
      <c r="E9">
        <f>C9-D9</f>
        <v/>
      </c>
      <c r="F9">
        <f>B9-D9</f>
        <v/>
      </c>
      <c r="G9">
        <f>IF((D9+E9)=0,0,D9/(D9+E9))</f>
        <v/>
      </c>
      <c r="H9">
        <f>IF((D9+F9)=0,0,D9/(D9+F9))</f>
        <v/>
      </c>
      <c r="I9">
        <f>IF((G9+H9)=0,0,2*G9*H9/(G9+H9))</f>
        <v/>
      </c>
    </row>
    <row r="10">
      <c r="A10" s="3" t="inlineStr">
        <is>
          <t>Network_Segmentation</t>
        </is>
      </c>
      <c r="B10">
        <f>SUM(Label_Matrix!L2:Label_Matrix!L11)</f>
        <v/>
      </c>
      <c r="C10">
        <f>SUM(Label_Matrix!W2:Label_Matrix!W11)</f>
        <v/>
      </c>
      <c r="D10">
        <f>SUMPRODUCT(Label_Matrix!L2:L11,Label_Matrix!W2:W11)</f>
        <v/>
      </c>
      <c r="E10">
        <f>C10-D10</f>
        <v/>
      </c>
      <c r="F10">
        <f>B10-D10</f>
        <v/>
      </c>
      <c r="G10">
        <f>IF((D10+E10)=0,0,D10/(D10+E10))</f>
        <v/>
      </c>
      <c r="H10">
        <f>IF((D10+F10)=0,0,D10/(D10+F10))</f>
        <v/>
      </c>
      <c r="I10">
        <f>IF((G10+H10)=0,0,2*G10*H10/(G10+H10))</f>
        <v/>
      </c>
    </row>
    <row r="11">
      <c r="A11" s="3" t="inlineStr">
        <is>
          <t>Threat_Hunting</t>
        </is>
      </c>
      <c r="B11">
        <f>SUM(Label_Matrix!M2:Label_Matrix!M11)</f>
        <v/>
      </c>
      <c r="C11">
        <f>SUM(Label_Matrix!X2:Label_Matrix!X11)</f>
        <v/>
      </c>
      <c r="D11">
        <f>SUMPRODUCT(Label_Matrix!M2:M11,Label_Matrix!X2:X11)</f>
        <v/>
      </c>
      <c r="E11">
        <f>C11-D11</f>
        <v/>
      </c>
      <c r="F11">
        <f>B11-D11</f>
        <v/>
      </c>
      <c r="G11">
        <f>IF((D11+E11)=0,0,D11/(D11+E11))</f>
        <v/>
      </c>
      <c r="H11">
        <f>IF((D11+F11)=0,0,D11/(D11+F11))</f>
        <v/>
      </c>
      <c r="I11">
        <f>IF((G11+H11)=0,0,2*G11*H11/(G11+H11))</f>
        <v/>
      </c>
    </row>
    <row r="12">
      <c r="A12" s="3" t="inlineStr">
        <is>
          <t>Threat_Intelligence</t>
        </is>
      </c>
      <c r="B12">
        <f>SUM(Label_Matrix!N2:Label_Matrix!N11)</f>
        <v/>
      </c>
      <c r="C12">
        <f>SUM(Label_Matrix!Y2:Label_Matrix!Y11)</f>
        <v/>
      </c>
      <c r="D12">
        <f>SUMPRODUCT(Label_Matrix!N2:N11,Label_Matrix!Y2:Y11)</f>
        <v/>
      </c>
      <c r="E12">
        <f>C12-D12</f>
        <v/>
      </c>
      <c r="F12">
        <f>B12-D12</f>
        <v/>
      </c>
      <c r="G12">
        <f>IF((D12+E12)=0,0,D12/(D12+E12))</f>
        <v/>
      </c>
      <c r="H12">
        <f>IF((D12+F12)=0,0,D12/(D12+F12))</f>
        <v/>
      </c>
      <c r="I12">
        <f>IF((G12+H12)=0,0,2*G12*H12/(G12+H12))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8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Where</t>
        </is>
      </c>
      <c r="D1" s="1" t="inlineStr">
        <is>
          <t>Expected output</t>
        </is>
      </c>
    </row>
    <row r="2">
      <c r="A2" t="n">
        <v>1</v>
      </c>
      <c r="B2" t="inlineStr">
        <is>
          <t>Fill Inputs!gold_final_tactics for validated records</t>
        </is>
      </c>
      <c r="C2" t="inlineStr">
        <is>
          <t>Inputs sheet</t>
        </is>
      </c>
      <c r="D2" t="inlineStr">
        <is>
          <t>Gold labels completed</t>
        </is>
      </c>
    </row>
    <row r="3">
      <c r="A3" t="n">
        <v>2</v>
      </c>
      <c r="B3" t="inlineStr">
        <is>
          <t>Paste model predictions in Predictions!predicted_tactics</t>
        </is>
      </c>
      <c r="C3" t="inlineStr">
        <is>
          <t>Predictions sheet</t>
        </is>
      </c>
      <c r="D3" t="inlineStr">
        <is>
          <t>Predictions completed</t>
        </is>
      </c>
    </row>
    <row r="4">
      <c r="A4" t="n">
        <v>3</v>
      </c>
      <c r="B4" t="inlineStr">
        <is>
          <t>Convert tactics to binary matrix (0/1)</t>
        </is>
      </c>
      <c r="C4" t="inlineStr">
        <is>
          <t>Label_Matrix true::*/pred::* columns</t>
        </is>
      </c>
      <c r="D4" t="inlineStr">
        <is>
          <t>Binary matrix completed</t>
        </is>
      </c>
    </row>
    <row r="5">
      <c r="A5" t="n">
        <v>4</v>
      </c>
      <c r="B5" t="inlineStr">
        <is>
          <t>Review per-row TP/FP/FN/Precision/Recall/F1</t>
        </is>
      </c>
      <c r="C5" t="inlineStr">
        <is>
          <t>Label_Matrix</t>
        </is>
      </c>
      <c r="D5" t="inlineStr">
        <is>
          <t>Per-record metrics</t>
        </is>
      </c>
    </row>
    <row r="6">
      <c r="A6" t="n">
        <v>5</v>
      </c>
      <c r="B6" t="inlineStr">
        <is>
          <t>Review global micro/macro metrics</t>
        </is>
      </c>
      <c r="C6" t="inlineStr">
        <is>
          <t>Metrics</t>
        </is>
      </c>
      <c r="D6" t="inlineStr">
        <is>
          <t>Final thesis numbers</t>
        </is>
      </c>
    </row>
    <row r="7">
      <c r="A7" t="n">
        <v>6</v>
      </c>
      <c r="B7" t="inlineStr">
        <is>
          <t>Review per-class metrics and supports</t>
        </is>
      </c>
      <c r="C7" t="inlineStr">
        <is>
          <t>Confusion_Matrix</t>
        </is>
      </c>
      <c r="D7" t="inlineStr">
        <is>
          <t>Class-level evidence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Allowed values</t>
        </is>
      </c>
    </row>
    <row r="2">
      <c r="A2" t="inlineStr">
        <is>
          <t>gold_final_tactics</t>
        </is>
      </c>
      <c r="B2" t="inlineStr">
        <is>
          <t>Manually validated final labels</t>
        </is>
      </c>
      <c r="C2" t="inlineStr">
        <is>
          <t>semicolon-separated taxonomy tactics</t>
        </is>
      </c>
    </row>
    <row r="3">
      <c r="A3" t="inlineStr">
        <is>
          <t>predicted_tactics</t>
        </is>
      </c>
      <c r="B3" t="inlineStr">
        <is>
          <t>Model output labels</t>
        </is>
      </c>
      <c r="C3" t="inlineStr">
        <is>
          <t>semicolon-separated taxonomy tactics</t>
        </is>
      </c>
    </row>
    <row r="4">
      <c r="A4" t="inlineStr">
        <is>
          <t>inclusion_flag</t>
        </is>
      </c>
      <c r="B4" t="inlineStr">
        <is>
          <t>Whether record is part of thesis metric set</t>
        </is>
      </c>
      <c r="C4" t="inlineStr">
        <is>
          <t>INCLUDE/EXCLUDE/PENDING</t>
        </is>
      </c>
    </row>
    <row r="5">
      <c r="A5" t="inlineStr">
        <is>
          <t>true::class</t>
        </is>
      </c>
      <c r="B5" t="inlineStr">
        <is>
          <t>Binary true indicator for class</t>
        </is>
      </c>
      <c r="C5" t="inlineStr">
        <is>
          <t>0 or 1</t>
        </is>
      </c>
    </row>
    <row r="6">
      <c r="A6" t="inlineStr">
        <is>
          <t>pred::class</t>
        </is>
      </c>
      <c r="B6" t="inlineStr">
        <is>
          <t>Binary predicted indicator for class</t>
        </is>
      </c>
      <c r="C6" t="inlineStr">
        <is>
          <t>0 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2026-03-21T20:07:09Z</dcterms:created>
  <dcterms:modified xsi:type="dcterms:W3CDTF">2026-03-21T20:07:09Z</dcterms:modified>
</cp:coreProperties>
</file>